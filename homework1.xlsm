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58C2A68-DDF6-4FD9-B262-640962F5F1B9}" xr6:coauthVersionLast="45" xr6:coauthVersionMax="45" xr10:uidLastSave="{00000000-0000-0000-0000-000000000000}"/>
  <bookViews>
    <workbookView xWindow="-108" yWindow="-108" windowWidth="19416" windowHeight="11016" xr2:uid="{412C3889-4EFE-41E5-84C7-2090CDA816B6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/>
  <c r="F13" i="1" s="1"/>
  <c r="G16" i="1" s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<sst xmlns="http://schemas.openxmlformats.org/spreadsheetml/2006/main" count="13" uniqueCount="12">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</sst>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Border="1"/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84180621585707"/>
          <c:y val="9.5760701693578559E-2"/>
          <c:w val="0.74552095170065169"/>
          <c:h val="0.80867970008706758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50-40B5-90AC-E5243A2D8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31184"/>
        <c:axId val="426131512"/>
      </c:scatterChart>
      <c:valAx>
        <c:axId val="4261311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31512"/>
        <c:crosses val="autoZero"/>
        <c:crossBetween val="midCat"/>
      </c:valAx>
      <c:valAx>
        <c:axId val="426131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16329</xdr:colOff>
      <xdr:row>16</xdr:row>
      <xdr:rowOff>27215</xdr:rowOff>
    </xdr:from>
    <xdr:to>
      <xdr:col>27</xdr:col>
      <xdr:colOff>250372</xdr:colOff>
      <xdr:row>39</xdr:row>
      <xdr:rowOff>87086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69EC0A5-E275-4075-9A52-E3D10A181C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92529</xdr:colOff>
      <xdr:row>16</xdr:row>
      <xdr:rowOff>48986</xdr:rowOff>
    </xdr:from>
    <xdr:ext cx="52290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3CAA50-903E-4C07-8743-692B76CFA936}"/>
                </a:ext>
              </a:extLst>
            </xdr:cNvPr>
            <xdr:cNvSpPr txBox="1"/>
          </xdr:nvSpPr>
          <xdr:spPr>
            <a:xfrm>
              <a:off x="10760529" y="3009900"/>
              <a:ext cx="522900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3CAA50-903E-4C07-8743-692B76CFA936}"/>
                </a:ext>
              </a:extLst>
            </xdr:cNvPr>
            <xdr:cNvSpPr txBox="1"/>
          </xdr:nvSpPr>
          <xdr:spPr>
            <a:xfrm>
              <a:off x="10760529" y="3009900"/>
              <a:ext cx="522900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26</xdr:col>
      <xdr:colOff>59871</xdr:colOff>
      <xdr:row>37</xdr:row>
      <xdr:rowOff>92530</xdr:rowOff>
    </xdr:from>
    <xdr:ext cx="64421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CED3EE6-7D03-4B7C-AD57-D5A295B792FF}"/>
                </a:ext>
              </a:extLst>
            </xdr:cNvPr>
            <xdr:cNvSpPr txBox="1"/>
          </xdr:nvSpPr>
          <xdr:spPr>
            <a:xfrm>
              <a:off x="13732328" y="6939644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CED3EE6-7D03-4B7C-AD57-D5A295B792FF}"/>
                </a:ext>
              </a:extLst>
            </xdr:cNvPr>
            <xdr:cNvSpPr txBox="1"/>
          </xdr:nvSpPr>
          <xdr:spPr>
            <a:xfrm>
              <a:off x="13732328" y="6939644"/>
              <a:ext cx="64421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 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3CA73-1613-46A9-9532-18EF7C09DC8E}">
  <sheetPr codeName="Лист1"/>
  <dimension ref="B3:AJ16"/>
  <sheetViews>
    <sheetView tabSelected="1" zoomScale="55" zoomScaleNormal="55" workbookViewId="0">
      <selection activeCell="R4" sqref="Q4:R4"/>
    </sheetView>
  </sheetViews>
  <sheetFormatPr defaultRowHeight="14.4" x14ac:dyDescent="0.3"/>
  <cols>
    <col min="3" max="3" width="10.44140625" bestFit="1" customWidth="1"/>
    <col min="6" max="36" width="7.3320312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4">
        <f>C3/30</f>
        <v>3.3333333333333335E-3</v>
      </c>
    </row>
    <row r="5" spans="2:36" x14ac:dyDescent="0.3">
      <c r="B5" s="1" t="s">
        <v>2</v>
      </c>
      <c r="C5" s="4">
        <f>(C9*C8*C4^2)/(2*C10)</f>
        <v>0.4333333333333334</v>
      </c>
    </row>
    <row r="6" spans="2:36" x14ac:dyDescent="0.3">
      <c r="B6" s="1" t="s">
        <v>3</v>
      </c>
      <c r="C6" s="1">
        <v>5000</v>
      </c>
      <c r="D6">
        <v>5000.2333333333345</v>
      </c>
    </row>
    <row r="7" spans="2:36" x14ac:dyDescent="0.3">
      <c r="B7" s="3"/>
      <c r="C7" s="3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10</v>
      </c>
      <c r="C12" s="1">
        <v>92000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1" t="s">
        <v>8</v>
      </c>
      <c r="C13" s="1">
        <v>100</v>
      </c>
      <c r="E13" t="s">
        <v>7</v>
      </c>
      <c r="F13" s="1">
        <f>(F16/C10)*C4+G13</f>
        <v>299.99997763108735</v>
      </c>
      <c r="G13" s="1">
        <v>293.33331096442066</v>
      </c>
      <c r="H13" s="1">
        <v>286.6666443611611</v>
      </c>
      <c r="I13" s="1">
        <v>279.99997782112894</v>
      </c>
      <c r="J13" s="1">
        <v>273.33331134396514</v>
      </c>
      <c r="K13" s="1">
        <v>266.66664492913264</v>
      </c>
      <c r="L13" s="1">
        <v>259.99997857591751</v>
      </c>
      <c r="M13" s="1">
        <v>253.3333122834313</v>
      </c>
      <c r="N13" s="1">
        <v>246.66664605061328</v>
      </c>
      <c r="O13" s="1">
        <v>239.99997987623377</v>
      </c>
      <c r="P13" s="1">
        <v>233.33331375889719</v>
      </c>
      <c r="Q13" s="1">
        <v>226.66664769704656</v>
      </c>
      <c r="R13" s="1">
        <v>219.9999816889673</v>
      </c>
      <c r="S13" s="1">
        <v>213.33331573279273</v>
      </c>
      <c r="T13" s="1">
        <v>206.66664982650872</v>
      </c>
      <c r="U13" s="1">
        <v>199.99998396796005</v>
      </c>
      <c r="V13" s="1">
        <v>193.33331815485587</v>
      </c>
      <c r="W13" s="1">
        <v>186.6666523847768</v>
      </c>
      <c r="X13" s="1">
        <v>179.99998665518126</v>
      </c>
      <c r="Y13" s="1">
        <v>173.33332096341309</v>
      </c>
      <c r="Z13" s="1">
        <v>166.66665530670878</v>
      </c>
      <c r="AA13" s="1">
        <v>159.9999896822055</v>
      </c>
      <c r="AB13" s="1">
        <v>153.33332408694912</v>
      </c>
      <c r="AC13" s="1">
        <v>146.66665851790265</v>
      </c>
      <c r="AD13" s="1">
        <v>139.99999297195473</v>
      </c>
      <c r="AE13" s="1">
        <v>133.33332744592857</v>
      </c>
      <c r="AF13" s="1">
        <v>126.66666193659087</v>
      </c>
      <c r="AG13" s="1">
        <v>119.99999644066111</v>
      </c>
      <c r="AH13" s="1">
        <v>113.3333309548207</v>
      </c>
      <c r="AI13" s="1">
        <v>106.66666547572241</v>
      </c>
      <c r="AJ13" s="1">
        <f>C13</f>
        <v>100</v>
      </c>
    </row>
    <row r="15" spans="2:36" x14ac:dyDescent="0.3">
      <c r="E15" t="s">
        <v>9</v>
      </c>
      <c r="G15">
        <f>G13+(($C$10*$C$5)/($C$9*$C$8))*((H13-2*G13+F13)/($C$4^2))</f>
        <v>293.33331099612423</v>
      </c>
      <c r="H15">
        <f t="shared" ref="H15:AI15" si="1">H13+(($C$10*$C$5)/($C$9*$C$8))*((I13-2*H13+G13)/($C$4^2))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2:36" x14ac:dyDescent="0.3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2021-09-15T19:01:36Z</dcterms:created>
  <dcterms:modified xsi:type="dcterms:W3CDTF">2021-09-15T20:39:27Z</dcterms:modified>
</cp:coreProperties>
</file>